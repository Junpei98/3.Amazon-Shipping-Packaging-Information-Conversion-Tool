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ba77258597da6e/デスクトップ/Amazon納品梱包情報変換ツール/"/>
    </mc:Choice>
  </mc:AlternateContent>
  <xr:revisionPtr revIDLastSave="2" documentId="13_ncr:1_{EAAD1CD3-3962-4B09-9F88-DBDFCE68C609}" xr6:coauthVersionLast="47" xr6:coauthVersionMax="47" xr10:uidLastSave="{DEDDC02F-5EFB-4ED6-8B71-1A0E32C8CA0E}"/>
  <workbookProtection lockStructure="1"/>
  <bookViews>
    <workbookView xWindow="25695" yWindow="0" windowWidth="26010" windowHeight="20985" activeTab="1" xr2:uid="{00000000-000D-0000-FFFF-FFFF00000000}"/>
  </bookViews>
  <sheets>
    <sheet name="手順" sheetId="1" r:id="rId1"/>
    <sheet name="輸送箱の梱包情報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" i="2" l="1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K14" i="2"/>
  <c r="K13" i="2"/>
  <c r="K12" i="2"/>
  <c r="K11" i="2"/>
  <c r="K10" i="2"/>
  <c r="K9" i="2"/>
  <c r="K8" i="2"/>
  <c r="K7" i="2"/>
  <c r="K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</calcChain>
</file>

<file path=xl/sharedStrings.xml><?xml version="1.0" encoding="utf-8"?>
<sst xmlns="http://schemas.openxmlformats.org/spreadsheetml/2006/main" count="120" uniqueCount="89">
  <si>
    <t>Excelファイルを使用して輸送箱内の商品情報をアップロードする方法</t>
  </si>
  <si>
    <t>ステップ1 – 輸送箱の合計数の確認</t>
  </si>
  <si>
    <t>Excelファイルの輸送箱の合計数フィールドには、各梱包グループの「Amazonへ納品」で入力した数が自動的に入力されます。この数はあくまで見積りであり、このファイルをアップロードする前であれば、最大10個まで増減できます。
各輸送箱は番号（輸送箱1、輸送箱2など）で識別され、納品プラン内の列に表示されます。輸送箱の合計数を更新すると、列の数が自動的に更新されます。</t>
  </si>
  <si>
    <t>ステップ2 – 輸送箱内の商品情報の入力</t>
  </si>
  <si>
    <t>梱包グループ内の各SKUは、納品プランの行に表示されます。輸送箱ごとに、梱包する各SKUの商品の数を入力します。輸送箱の数フィールドには、現在入力されている数が表示されます。入力された数が、この納品の発送予定数と一致するまで、フィールドの数値は赤色で表示されます。</t>
  </si>
  <si>
    <t>ステップ3 – 輸送箱の重量と寸法の入力</t>
  </si>
  <si>
    <t>梱包グループの輸送箱ごとに、重量と寸法を入力します</t>
  </si>
  <si>
    <t>ステップ4 – 保存してアップロード</t>
  </si>
  <si>
    <t>Excelスプレッドシートへの入力が完了したら、.xlsxファイルとしてセラーセントラルにアップロードできます</t>
  </si>
  <si>
    <t>この梱包グループの輸送箱の詳細を以下に入力してください。不明な点がある場合は、手順のシートを参照してください。</t>
  </si>
  <si>
    <t>梱包グループ：1</t>
  </si>
  <si>
    <t>pg8569e13a-395a-4c54-b1e2-089686ed2251</t>
  </si>
  <si>
    <t>SKUの合計：9（780個）</t>
  </si>
  <si>
    <t>輸送箱の合計数：</t>
  </si>
  <si>
    <t>SKU</t>
  </si>
  <si>
    <t xml:space="preserve">商品名 </t>
  </si>
  <si>
    <t>Id</t>
  </si>
  <si>
    <t>ASIN</t>
  </si>
  <si>
    <t>FNSKU</t>
  </si>
  <si>
    <t>コンディション</t>
  </si>
  <si>
    <t>梱包タイプ</t>
  </si>
  <si>
    <t>誰が商品の梱包準備をしますか？</t>
  </si>
  <si>
    <t>商品のラベル貼付は誰が行いますか？</t>
  </si>
  <si>
    <t>予定数量</t>
  </si>
  <si>
    <t>輸送箱の数</t>
  </si>
  <si>
    <t>ASL-8S</t>
  </si>
  <si>
    <t>アクリル本舗 アクリル ディスプレイスタンド ストッパー レッジ付き イーゼル 写真 本 書類 CD 立て 展示 透明 ブックスタンド 落下防止 (クリア, 8個セット)</t>
  </si>
  <si>
    <t>pk623ba91e-7b78-46b8-b75e-4d206cc4fe80</t>
  </si>
  <si>
    <t>B0FK39WCG8</t>
  </si>
  <si>
    <t>X001B40KQN</t>
  </si>
  <si>
    <t>NewItem</t>
  </si>
  <si>
    <t>商品ラベル貼付,エアキャップ</t>
  </si>
  <si>
    <t>出品者</t>
  </si>
  <si>
    <t>BKD-5S</t>
  </si>
  <si>
    <t>アクリル本舗 ブックエンド アクリル 透明 本立て おしゃれ 卓上 書類 ファイル 仕切り L字型 (5, 10×10×13cm)</t>
  </si>
  <si>
    <t>pk8c8d3698-1905-4207-9089-9219a6b19568</t>
  </si>
  <si>
    <t>B0FD2Z8VFJ</t>
  </si>
  <si>
    <t>X001AR4G2F</t>
  </si>
  <si>
    <t>BKD-6S</t>
  </si>
  <si>
    <t>アクリル本舗 ブックエンド アクリル 透明 本立て おしゃれ 卓上 書類 ファイル 仕切り L字型 (6, 10×10×13cm)</t>
  </si>
  <si>
    <t>pk0fa97b15-3952-47a8-babe-40e06e88c13e</t>
  </si>
  <si>
    <t>B0FD331RWT</t>
  </si>
  <si>
    <t>X001AR4GO3</t>
  </si>
  <si>
    <t>BKD-8S</t>
  </si>
  <si>
    <t>アクリル本舗 ブックエンド アクリル 透明 本立て おしゃれ 卓上 書類 ファイル 仕切り L字型 (8, 10×10×13cm)</t>
  </si>
  <si>
    <t>pk44afae6f-977f-4216-93a7-e559841d98c6</t>
  </si>
  <si>
    <t>B0FD33M7ZS</t>
  </si>
  <si>
    <t>X001ARG58D</t>
  </si>
  <si>
    <t>FGSEN-BK</t>
  </si>
  <si>
    <t>アクリル本舗 ディスプレイスタンド フィギュアスタンド 棚 ディスプレイ台 コレクションケース アクリル 展示台 陳列 台座 (ブラック円形×3段)</t>
  </si>
  <si>
    <t>pk7bcc79d7-7c9a-4dba-98d1-46ac5983c131</t>
  </si>
  <si>
    <t>B0CR7BQWZJ</t>
  </si>
  <si>
    <t>X00166U2TL</t>
  </si>
  <si>
    <t>FGSEN-CL</t>
  </si>
  <si>
    <t>アクリル本舗 ディスプレイスタンド フィギュアスタンド 棚 ディスプレイ台 コレクションケース アクリル 展示台 陳列 台座 (クリア円形×3段)</t>
  </si>
  <si>
    <t>pkd8d117a3-f98a-4e53-8a23-e2e3274bac6b</t>
  </si>
  <si>
    <t>B0CR7BW6ZD</t>
  </si>
  <si>
    <t>X00166U2VJ</t>
  </si>
  <si>
    <t>PF-A6H-4S</t>
  </si>
  <si>
    <t>アクリル本舗 アクリルスタンド ポップスタンド メニュースタンド 卓上 pop (横型-4個, A6)</t>
  </si>
  <si>
    <t>pkd623261e-4bd1-437e-8e0d-9097ede73251</t>
  </si>
  <si>
    <t>B0DL2T489G</t>
  </si>
  <si>
    <t>X0018SHN5X</t>
  </si>
  <si>
    <t>RR-30-4</t>
  </si>
  <si>
    <t>アクリル本舗 レコードラック 壁掛け ディスプレイ 透明 収納 アクリル製 (クリア, 4個セット)</t>
  </si>
  <si>
    <t>pk513646c3-f970-4402-935a-3d34ad2525c8</t>
  </si>
  <si>
    <t>B0DR4BYLJ5</t>
  </si>
  <si>
    <t>X00198TLDT</t>
  </si>
  <si>
    <t>WN-L2S-WH</t>
  </si>
  <si>
    <t>Cospys 洗濯ネット 大 洗濯袋 ランドリーネット 布団 せんたくネット 60x90cm 特大 洗濯機 ネット 粗目 メッシュ 巾着タイプ 収納 枕 大物用 (ホワイト, 90×60㎝ 2枚セット)</t>
  </si>
  <si>
    <t>pkd626bbbc-7fec-4f57-8f50-769fbb1ba677</t>
  </si>
  <si>
    <t>B0D4Q6QPYX</t>
  </si>
  <si>
    <t>X0017G84PJ</t>
  </si>
  <si>
    <t>商品ラベル貼付</t>
  </si>
  <si>
    <t/>
  </si>
  <si>
    <t>輸送箱の名前</t>
  </si>
  <si>
    <t>輸送箱の重量（kg）：</t>
  </si>
  <si>
    <t>輸送箱の幅（cm）：</t>
  </si>
  <si>
    <t>輸送箱の長さ（cm）：</t>
  </si>
  <si>
    <t>輸送箱の高さ（cm）：</t>
  </si>
  <si>
    <t>Locale</t>
  </si>
  <si>
    <t>ja_JP</t>
  </si>
  <si>
    <t>Weight unit</t>
  </si>
  <si>
    <t>kg</t>
  </si>
  <si>
    <t>Length unit</t>
  </si>
  <si>
    <t>cm</t>
  </si>
  <si>
    <t>Version</t>
  </si>
  <si>
    <t>1.1</t>
  </si>
  <si>
    <t>Number of packing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</si>
</sst>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9" x14ac:knownFonts="1">
    <font>
      <sz val="11"/>
      <color indexed="8"/>
      <name val="游ゴシック"/>
      <family val="2"/>
      <scheme val="minor"/>
    </font>
    <font>
      <sz val="20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14"/>
      <color indexed="53"/>
      <name val="Calibri"/>
      <family val="2"/>
    </font>
    <font>
      <sz val="24"/>
      <name val="Calibri"/>
      <family val="2"/>
    </font>
    <font>
      <sz val="24"/>
      <name val="Calibri"/>
      <family val="2"/>
    </font>
    <font>
      <sz val="18"/>
      <name val="Calibri"/>
      <family val="2"/>
    </font>
    <font>
      <sz val="18"/>
      <name val="Calibri"/>
      <family val="2"/>
    </font>
    <font>
      <sz val="18"/>
      <name val="Calibri"/>
      <family val="2"/>
    </font>
    <font>
      <sz val="18"/>
      <name val="Calibri"/>
      <family val="2"/>
    </font>
    <font>
      <sz val="18"/>
      <name val="Calibri"/>
      <family val="2"/>
    </font>
    <font>
      <sz val="18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23"/>
      </patternFill>
    </fill>
  </fills>
  <borders count="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0" fillId="0" borderId="0" xfId="0" applyAlignment="1">
      <alignment horizontal="left"/>
    </xf>
    <xf numFmtId="0" fontId="31" fillId="3" borderId="0" xfId="0" applyFont="1" applyFill="1" applyAlignment="1" applyProtection="1">
      <alignment horizontal="center"/>
      <protection locked="0"/>
    </xf>
    <xf numFmtId="0" fontId="0" fillId="4" borderId="0" xfId="0" applyFill="1" applyAlignment="1"/>
    <xf numFmtId="0" fontId="32" fillId="2" borderId="0" xfId="0" applyFont="1" applyFill="1" applyAlignment="1"/>
    <xf numFmtId="0" fontId="0" fillId="0" borderId="0" xfId="0" applyAlignment="1" applyProtection="1">
      <protection locked="0"/>
    </xf>
    <xf numFmtId="0" fontId="45" fillId="0" borderId="0" xfId="0" applyFont="1" applyAlignment="1"/>
    <xf numFmtId="0" fontId="46" fillId="0" borderId="0" xfId="0" applyFont="1" applyAlignment="1"/>
    <xf numFmtId="0" fontId="47" fillId="0" borderId="0" xfId="0" applyFont="1" applyAlignment="1"/>
    <xf numFmtId="0" fontId="48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51" fillId="0" borderId="0" xfId="0" applyFont="1" applyAlignment="1"/>
    <xf numFmtId="0" fontId="52" fillId="0" borderId="0" xfId="0" applyFont="1" applyAlignment="1"/>
    <xf numFmtId="0" fontId="53" fillId="0" borderId="0" xfId="0" applyFont="1" applyAlignment="1"/>
    <xf numFmtId="0" fontId="54" fillId="0" borderId="0" xfId="0" applyFont="1" applyAlignment="1"/>
    <xf numFmtId="0" fontId="55" fillId="0" borderId="0" xfId="0" applyFont="1" applyAlignment="1"/>
    <xf numFmtId="0" fontId="56" fillId="0" borderId="0" xfId="0" applyFont="1" applyAlignment="1"/>
    <xf numFmtId="0" fontId="57" fillId="0" borderId="0" xfId="0" applyFont="1" applyAlignment="1"/>
    <xf numFmtId="0" fontId="58" fillId="0" borderId="0" xfId="0" applyFont="1" applyAlignment="1"/>
    <xf numFmtId="0" fontId="59" fillId="0" borderId="0" xfId="0" applyFont="1" applyAlignment="1"/>
    <xf numFmtId="0" fontId="60" fillId="0" borderId="0" xfId="0" applyFont="1" applyAlignment="1"/>
    <xf numFmtId="0" fontId="61" fillId="0" borderId="0" xfId="0" applyFont="1" applyAlignment="1"/>
    <xf numFmtId="0" fontId="62" fillId="0" borderId="0" xfId="0" applyFont="1" applyAlignment="1"/>
    <xf numFmtId="0" fontId="63" fillId="0" borderId="0" xfId="0" applyFont="1" applyAlignment="1"/>
    <xf numFmtId="0" fontId="64" fillId="0" borderId="0" xfId="0" applyFont="1" applyAlignment="1"/>
    <xf numFmtId="0" fontId="65" fillId="0" borderId="0" xfId="0" applyFont="1" applyAlignment="1"/>
    <xf numFmtId="0" fontId="66" fillId="0" borderId="0" xfId="0" applyFont="1" applyAlignment="1"/>
    <xf numFmtId="0" fontId="67" fillId="0" borderId="0" xfId="0" applyFont="1" applyAlignment="1"/>
    <xf numFmtId="0" fontId="68" fillId="0" borderId="0" xfId="0" applyFont="1" applyAlignment="1"/>
    <xf numFmtId="0" fontId="69" fillId="0" borderId="0" xfId="0" applyFont="1" applyAlignment="1"/>
    <xf numFmtId="0" fontId="106" fillId="0" borderId="0" xfId="0" applyFont="1" applyAlignment="1">
      <alignment horizontal="right"/>
    </xf>
    <xf numFmtId="0" fontId="107" fillId="0" borderId="0" xfId="0" applyFont="1" applyAlignment="1">
      <alignment horizontal="right"/>
    </xf>
    <xf numFmtId="0" fontId="108" fillId="0" borderId="0" xfId="0" applyFont="1" applyAlignment="1">
      <alignment horizontal="right"/>
    </xf>
    <xf numFmtId="0" fontId="109" fillId="0" borderId="0" xfId="0" applyFont="1" applyAlignment="1">
      <alignment horizontal="right"/>
    </xf>
    <xf numFmtId="0" fontId="110" fillId="0" borderId="0" xfId="0" applyFont="1" applyAlignment="1">
      <alignment horizontal="right"/>
    </xf>
    <xf numFmtId="0" fontId="111" fillId="0" borderId="0" xfId="0" applyFont="1" applyAlignment="1">
      <alignment horizontal="right"/>
    </xf>
    <xf numFmtId="0" fontId="112" fillId="0" borderId="0" xfId="0" applyFont="1" applyAlignment="1">
      <alignment horizontal="right"/>
    </xf>
    <xf numFmtId="0" fontId="113" fillId="0" borderId="0" xfId="0" applyFont="1" applyAlignment="1">
      <alignment horizontal="right"/>
    </xf>
    <xf numFmtId="0" fontId="114" fillId="0" borderId="0" xfId="0" applyFont="1" applyAlignment="1">
      <alignment horizontal="right"/>
    </xf>
    <xf numFmtId="0" fontId="115" fillId="0" borderId="0" xfId="0" applyFont="1" applyAlignment="1">
      <alignment horizontal="right"/>
    </xf>
    <xf numFmtId="0" fontId="116" fillId="0" borderId="0" xfId="0" applyFont="1" applyAlignment="1">
      <alignment horizontal="right"/>
    </xf>
    <xf numFmtId="0" fontId="117" fillId="0" borderId="0" xfId="0" applyFont="1" applyAlignment="1">
      <alignment horizontal="right"/>
    </xf>
    <xf numFmtId="0" fontId="0" fillId="4" borderId="0" xfId="0" applyFill="1" applyAlignment="1"/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70" fillId="0" borderId="0" xfId="0" applyFont="1" applyAlignment="1">
      <alignment horizontal="right"/>
    </xf>
    <xf numFmtId="0" fontId="71" fillId="0" borderId="0" xfId="0" applyFont="1" applyAlignment="1">
      <alignment horizontal="right"/>
    </xf>
    <xf numFmtId="0" fontId="72" fillId="0" borderId="0" xfId="0" applyFont="1" applyAlignment="1">
      <alignment horizontal="right"/>
    </xf>
    <xf numFmtId="0" fontId="73" fillId="0" borderId="0" xfId="0" applyFont="1" applyAlignment="1">
      <alignment horizontal="right"/>
    </xf>
    <xf numFmtId="0" fontId="74" fillId="0" borderId="0" xfId="0" applyFont="1" applyAlignment="1">
      <alignment horizontal="right"/>
    </xf>
    <xf numFmtId="0" fontId="75" fillId="0" borderId="0" xfId="0" applyFont="1" applyAlignment="1">
      <alignment horizontal="right"/>
    </xf>
    <xf numFmtId="0" fontId="76" fillId="0" borderId="0" xfId="0" applyFont="1" applyAlignment="1">
      <alignment horizontal="right"/>
    </xf>
    <xf numFmtId="0" fontId="77" fillId="0" borderId="0" xfId="0" applyFont="1" applyAlignment="1">
      <alignment horizontal="right"/>
    </xf>
    <xf numFmtId="0" fontId="78" fillId="0" borderId="0" xfId="0" applyFont="1" applyAlignment="1">
      <alignment horizontal="right"/>
    </xf>
    <xf numFmtId="0" fontId="79" fillId="0" borderId="0" xfId="0" applyFont="1" applyAlignment="1">
      <alignment horizontal="right"/>
    </xf>
    <xf numFmtId="0" fontId="80" fillId="0" borderId="0" xfId="0" applyFont="1" applyAlignment="1">
      <alignment horizontal="right"/>
    </xf>
    <xf numFmtId="0" fontId="81" fillId="0" borderId="0" xfId="0" applyFont="1" applyAlignment="1">
      <alignment horizontal="right"/>
    </xf>
    <xf numFmtId="0" fontId="82" fillId="0" borderId="0" xfId="0" applyFont="1" applyAlignment="1">
      <alignment horizontal="right"/>
    </xf>
    <xf numFmtId="0" fontId="83" fillId="0" borderId="0" xfId="0" applyFont="1" applyAlignment="1">
      <alignment horizontal="right"/>
    </xf>
    <xf numFmtId="0" fontId="84" fillId="0" borderId="0" xfId="0" applyFont="1" applyAlignment="1">
      <alignment horizontal="right"/>
    </xf>
    <xf numFmtId="0" fontId="85" fillId="0" borderId="0" xfId="0" applyFont="1" applyAlignment="1">
      <alignment horizontal="right"/>
    </xf>
    <xf numFmtId="0" fontId="86" fillId="0" borderId="0" xfId="0" applyFont="1" applyAlignment="1">
      <alignment horizontal="right"/>
    </xf>
    <xf numFmtId="0" fontId="87" fillId="0" borderId="0" xfId="0" applyFont="1" applyAlignment="1">
      <alignment horizontal="right"/>
    </xf>
    <xf numFmtId="0" fontId="88" fillId="0" borderId="0" xfId="0" applyFont="1" applyAlignment="1">
      <alignment horizontal="right"/>
    </xf>
    <xf numFmtId="0" fontId="89" fillId="0" borderId="0" xfId="0" applyFont="1" applyAlignment="1">
      <alignment horizontal="right"/>
    </xf>
    <xf numFmtId="0" fontId="90" fillId="0" borderId="0" xfId="0" applyFont="1" applyAlignment="1">
      <alignment horizontal="right"/>
    </xf>
    <xf numFmtId="0" fontId="91" fillId="0" borderId="0" xfId="0" applyFont="1" applyAlignment="1">
      <alignment horizontal="right"/>
    </xf>
    <xf numFmtId="0" fontId="92" fillId="0" borderId="0" xfId="0" applyFont="1" applyAlignment="1">
      <alignment horizontal="right"/>
    </xf>
    <xf numFmtId="0" fontId="93" fillId="0" borderId="0" xfId="0" applyFont="1" applyAlignment="1">
      <alignment horizontal="right"/>
    </xf>
    <xf numFmtId="0" fontId="94" fillId="0" borderId="0" xfId="0" applyFont="1" applyAlignment="1">
      <alignment horizontal="right"/>
    </xf>
    <xf numFmtId="0" fontId="95" fillId="0" borderId="0" xfId="0" applyFont="1" applyAlignment="1">
      <alignment horizontal="right"/>
    </xf>
    <xf numFmtId="0" fontId="96" fillId="0" borderId="0" xfId="0" applyFont="1" applyAlignment="1">
      <alignment horizontal="right"/>
    </xf>
    <xf numFmtId="0" fontId="97" fillId="0" borderId="0" xfId="0" applyFont="1" applyAlignment="1">
      <alignment horizontal="right"/>
    </xf>
    <xf numFmtId="0" fontId="98" fillId="0" borderId="0" xfId="0" applyFont="1" applyAlignment="1">
      <alignment horizontal="right"/>
    </xf>
    <xf numFmtId="0" fontId="99" fillId="0" borderId="0" xfId="0" applyFont="1" applyAlignment="1">
      <alignment horizontal="right"/>
    </xf>
    <xf numFmtId="0" fontId="100" fillId="0" borderId="0" xfId="0" applyFont="1" applyAlignment="1">
      <alignment horizontal="right"/>
    </xf>
    <xf numFmtId="0" fontId="101" fillId="0" borderId="0" xfId="0" applyFont="1" applyAlignment="1">
      <alignment horizontal="right"/>
    </xf>
    <xf numFmtId="0" fontId="102" fillId="0" borderId="0" xfId="0" applyFont="1" applyAlignment="1">
      <alignment horizontal="right"/>
    </xf>
    <xf numFmtId="0" fontId="103" fillId="0" borderId="0" xfId="0" applyFont="1" applyAlignment="1">
      <alignment horizontal="right"/>
    </xf>
    <xf numFmtId="0" fontId="104" fillId="0" borderId="0" xfId="0" applyFont="1" applyAlignment="1">
      <alignment horizontal="right"/>
    </xf>
    <xf numFmtId="0" fontId="105" fillId="0" borderId="0" xfId="0" applyFont="1" applyAlignment="1">
      <alignment horizontal="right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</cellXfs>
  <cellStyles count="1">
    <cellStyle name="標準" xfId="0" builtinId="0"/>
  </cellStyles>
  <dxfs count="1">
    <dxf>
      <font>
        <color indexed="16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26" sqref="A26"/>
    </sheetView>
  </sheetViews>
  <sheetFormatPr defaultRowHeight="18.75" x14ac:dyDescent="0.4"/>
  <cols>
    <col min="1" max="1" width="120" customWidth="1"/>
  </cols>
  <sheetData>
    <row r="1" spans="1:1" ht="26.25" x14ac:dyDescent="0.4">
      <c r="A1" s="1" t="s">
        <v>0</v>
      </c>
    </row>
    <row r="2" spans="1:1" x14ac:dyDescent="0.3">
      <c r="A2" s="2" t="s">
        <v>1</v>
      </c>
    </row>
    <row r="3" spans="1:1" ht="103.5" x14ac:dyDescent="0.3">
      <c r="A3" s="3" t="s">
        <v>2</v>
      </c>
    </row>
    <row r="4" spans="1:1" x14ac:dyDescent="0.3">
      <c r="A4" s="4" t="s">
        <v>3</v>
      </c>
    </row>
    <row r="5" spans="1:1" ht="51.75" x14ac:dyDescent="0.3">
      <c r="A5" s="5" t="s">
        <v>4</v>
      </c>
    </row>
    <row r="6" spans="1:1" x14ac:dyDescent="0.3">
      <c r="A6" s="6" t="s">
        <v>5</v>
      </c>
    </row>
    <row r="7" spans="1:1" x14ac:dyDescent="0.3">
      <c r="A7" s="7" t="s">
        <v>6</v>
      </c>
    </row>
    <row r="8" spans="1:1" x14ac:dyDescent="0.3">
      <c r="A8" s="8" t="s">
        <v>7</v>
      </c>
    </row>
    <row r="9" spans="1:1" x14ac:dyDescent="0.3">
      <c r="A9" s="9" t="s">
        <v>8</v>
      </c>
    </row>
  </sheetData>
  <sheetProtection password="DFB5" sheet="1" objects="1" scenarios="1"/>
  <phoneticPr fontId="1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"/>
  <sheetViews>
    <sheetView tabSelected="1" zoomScale="115" zoomScaleNormal="115" workbookViewId="0">
      <pane xSplit="2" ySplit="5" topLeftCell="D6" activePane="bottomRight" state="frozen"/>
      <selection pane="topRight"/>
      <selection pane="bottomLeft"/>
      <selection pane="bottomRight" activeCell="L29" sqref="L29"/>
    </sheetView>
  </sheetViews>
  <sheetFormatPr defaultRowHeight="18.75" x14ac:dyDescent="0.4"/>
  <cols>
    <col min="1" max="1" width="21" customWidth="1"/>
    <col min="2" max="2" width="15.375" customWidth="1"/>
    <col min="3" max="3" width="20" hidden="1" customWidth="1"/>
    <col min="4" max="4" width="15.25" customWidth="1"/>
    <col min="5" max="10" width="4.875" customWidth="1"/>
    <col min="11" max="12" width="10.875" customWidth="1"/>
    <col min="13" max="21" width="10.875" style="14" customWidth="1"/>
    <col min="22" max="22" width="16.125" style="14" bestFit="1" customWidth="1"/>
    <col min="23" max="37" width="13" style="14" customWidth="1"/>
  </cols>
  <sheetData>
    <row r="1" spans="1:37" ht="20.25" x14ac:dyDescent="0.4">
      <c r="A1" s="101" t="s">
        <v>9</v>
      </c>
      <c r="B1" s="102"/>
      <c r="C1" s="103"/>
      <c r="D1" s="104"/>
      <c r="E1" s="105"/>
      <c r="F1" s="106"/>
      <c r="G1" s="107"/>
      <c r="H1" s="108"/>
      <c r="I1" s="109"/>
      <c r="J1" s="110"/>
      <c r="K1" s="111"/>
      <c r="L1" s="112"/>
    </row>
    <row r="2" spans="1:37" ht="31.5" x14ac:dyDescent="0.5">
      <c r="A2" s="113" t="s">
        <v>10</v>
      </c>
      <c r="B2" s="114"/>
      <c r="C2" s="10" t="s">
        <v>11</v>
      </c>
    </row>
    <row r="3" spans="1:37" ht="24" x14ac:dyDescent="0.4">
      <c r="A3" s="115" t="s">
        <v>12</v>
      </c>
      <c r="B3" s="116"/>
      <c r="C3" s="117"/>
      <c r="I3" s="118" t="s">
        <v>13</v>
      </c>
      <c r="J3" s="119"/>
      <c r="K3" s="120"/>
      <c r="L3" s="121"/>
      <c r="M3" s="11">
        <v>15</v>
      </c>
    </row>
    <row r="4" spans="1:37" ht="8.1" customHeight="1" x14ac:dyDescent="0.4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37" x14ac:dyDescent="0.4">
      <c r="A5" s="13" t="s">
        <v>14</v>
      </c>
      <c r="B5" s="13" t="s">
        <v>15</v>
      </c>
      <c r="C5" s="13" t="s">
        <v>16</v>
      </c>
      <c r="D5" s="13" t="s">
        <v>17</v>
      </c>
      <c r="E5" s="13" t="s">
        <v>18</v>
      </c>
      <c r="F5" s="13" t="s">
        <v>19</v>
      </c>
      <c r="G5" s="13" t="s">
        <v>20</v>
      </c>
      <c r="H5" s="13" t="s">
        <v>21</v>
      </c>
      <c r="I5" s="13" t="s">
        <v>22</v>
      </c>
      <c r="J5" s="13" t="s">
        <v>23</v>
      </c>
      <c r="K5" s="13" t="s">
        <v>24</v>
      </c>
      <c r="L5" s="12"/>
      <c r="M5" s="13" t="str">
        <f>IF(M3&gt;=1,"輸送箱1の数量","")</f>
        <v>輸送箱1の数量</v>
      </c>
      <c r="N5" s="13" t="str">
        <f>IF(M3&gt;=2,"輸送箱2の数量","")</f>
        <v>輸送箱2の数量</v>
      </c>
      <c r="O5" s="13" t="str">
        <f>IF(M3&gt;=3,"輸送箱3の数量","")</f>
        <v>輸送箱3の数量</v>
      </c>
      <c r="P5" s="13" t="str">
        <f>IF(M3&gt;=4,"輸送箱4の数量","")</f>
        <v>輸送箱4の数量</v>
      </c>
      <c r="Q5" s="13" t="str">
        <f>IF(M3&gt;=5,"輸送箱5の数量","")</f>
        <v>輸送箱5の数量</v>
      </c>
      <c r="R5" s="13" t="str">
        <f>IF(M3&gt;=6,"輸送箱6の数量","")</f>
        <v>輸送箱6の数量</v>
      </c>
      <c r="S5" s="13" t="str">
        <f>IF(M3&gt;=7,"輸送箱7の数量","")</f>
        <v>輸送箱7の数量</v>
      </c>
      <c r="T5" s="13" t="str">
        <f>IF(M3&gt;=8,"輸送箱8の数量","")</f>
        <v>輸送箱8の数量</v>
      </c>
      <c r="U5" s="13" t="str">
        <f>IF(M3&gt;=9,"輸送箱9の数量","")</f>
        <v>輸送箱9の数量</v>
      </c>
      <c r="V5" s="13" t="str">
        <f>IF(M3&gt;=10,"輸送箱10の数量","")</f>
        <v>輸送箱10の数量</v>
      </c>
      <c r="W5" s="13" t="str">
        <f>IF(M3&gt;=11,"輸送箱11の数量","")</f>
        <v>輸送箱11の数量</v>
      </c>
      <c r="X5" s="13" t="str">
        <f>IF(M3&gt;=12,"輸送箱12の数量","")</f>
        <v>輸送箱12の数量</v>
      </c>
      <c r="Y5" s="13" t="str">
        <f>IF(M3&gt;=13,"輸送箱13の数量","")</f>
        <v>輸送箱13の数量</v>
      </c>
      <c r="Z5" s="13" t="str">
        <f>IF(M3&gt;=14,"輸送箱14の数量","")</f>
        <v>輸送箱14の数量</v>
      </c>
      <c r="AA5" s="13" t="str">
        <f>IF(M3&gt;=15,"輸送箱15の数量","")</f>
        <v>輸送箱15の数量</v>
      </c>
      <c r="AB5" s="13" t="str">
        <f>IF(M3&gt;=16,"輸送箱16の数量","")</f>
        <v/>
      </c>
      <c r="AC5" s="13" t="str">
        <f>IF(M3&gt;=17,"輸送箱17の数量","")</f>
        <v/>
      </c>
      <c r="AD5" s="13" t="str">
        <f>IF(M3&gt;=18,"輸送箱18の数量","")</f>
        <v/>
      </c>
      <c r="AE5" s="13" t="str">
        <f>IF(M3&gt;=19,"輸送箱19の数量","")</f>
        <v/>
      </c>
      <c r="AF5" s="13" t="str">
        <f>IF(M3&gt;=20,"輸送箱20の数量","")</f>
        <v/>
      </c>
      <c r="AG5" s="13" t="str">
        <f>IF(M3&gt;=21,"輸送箱21の数量","")</f>
        <v/>
      </c>
      <c r="AH5" s="13" t="str">
        <f>IF(M3&gt;=22,"輸送箱22の数量","")</f>
        <v/>
      </c>
      <c r="AI5" s="13" t="str">
        <f>IF(M3&gt;=23,"輸送箱23の数量","")</f>
        <v/>
      </c>
      <c r="AJ5" s="13" t="str">
        <f>IF(M3&gt;=24,"輸送箱24の数量","")</f>
        <v/>
      </c>
      <c r="AK5" s="13" t="str">
        <f>IF(M3&gt;=25,"輸送箱25の数量","")</f>
        <v/>
      </c>
    </row>
    <row r="6" spans="1:37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32</v>
      </c>
      <c r="J6">
        <v>300</v>
      </c>
      <c r="K6">
        <f>SUM(M6:INDEX(M6:XFD6,1,M3))</f>
        <v>0</v>
      </c>
      <c r="L6" s="12"/>
    </row>
    <row r="7" spans="1:37" x14ac:dyDescent="0.4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30</v>
      </c>
      <c r="G7" t="s">
        <v>31</v>
      </c>
      <c r="H7" t="s">
        <v>32</v>
      </c>
      <c r="I7" t="s">
        <v>32</v>
      </c>
      <c r="J7">
        <v>70</v>
      </c>
      <c r="K7">
        <f>SUM(M7:INDEX(M7:XFD7,1,M3))</f>
        <v>0</v>
      </c>
      <c r="L7" s="12"/>
    </row>
    <row r="8" spans="1:37" x14ac:dyDescent="0.4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30</v>
      </c>
      <c r="G8" t="s">
        <v>31</v>
      </c>
      <c r="H8" t="s">
        <v>32</v>
      </c>
      <c r="I8" t="s">
        <v>32</v>
      </c>
      <c r="J8">
        <v>150</v>
      </c>
      <c r="K8">
        <f>SUM(M8:INDEX(M8:XFD8,1,M3))</f>
        <v>0</v>
      </c>
      <c r="L8" s="12"/>
    </row>
    <row r="9" spans="1:37" x14ac:dyDescent="0.4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30</v>
      </c>
      <c r="G9" t="s">
        <v>31</v>
      </c>
      <c r="H9" t="s">
        <v>32</v>
      </c>
      <c r="I9" t="s">
        <v>32</v>
      </c>
      <c r="J9">
        <v>60</v>
      </c>
      <c r="K9">
        <f>SUM(M9:INDEX(M9:XFD9,1,M3))</f>
        <v>0</v>
      </c>
      <c r="L9" s="12"/>
    </row>
    <row r="10" spans="1:37" x14ac:dyDescent="0.4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30</v>
      </c>
      <c r="G10" t="s">
        <v>31</v>
      </c>
      <c r="H10" t="s">
        <v>32</v>
      </c>
      <c r="I10" t="s">
        <v>32</v>
      </c>
      <c r="J10">
        <v>30</v>
      </c>
      <c r="K10">
        <f>SUM(M10:INDEX(M10:XFD10,1,M3))</f>
        <v>0</v>
      </c>
      <c r="L10" s="12"/>
    </row>
    <row r="11" spans="1:37" x14ac:dyDescent="0.4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30</v>
      </c>
      <c r="G11" t="s">
        <v>31</v>
      </c>
      <c r="H11" t="s">
        <v>32</v>
      </c>
      <c r="I11" t="s">
        <v>32</v>
      </c>
      <c r="J11">
        <v>60</v>
      </c>
      <c r="K11">
        <f>SUM(M11:INDEX(M11:XFD11,1,M3))</f>
        <v>0</v>
      </c>
      <c r="L11" s="12"/>
    </row>
    <row r="12" spans="1:37" x14ac:dyDescent="0.4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30</v>
      </c>
      <c r="G12" t="s">
        <v>31</v>
      </c>
      <c r="H12" t="s">
        <v>32</v>
      </c>
      <c r="I12" t="s">
        <v>32</v>
      </c>
      <c r="J12">
        <v>40</v>
      </c>
      <c r="K12">
        <f>SUM(M12:INDEX(M12:XFD12,1,M3))</f>
        <v>0</v>
      </c>
      <c r="L12" s="12"/>
    </row>
    <row r="13" spans="1:37" x14ac:dyDescent="0.4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30</v>
      </c>
      <c r="G13" t="s">
        <v>31</v>
      </c>
      <c r="H13" t="s">
        <v>32</v>
      </c>
      <c r="I13" t="s">
        <v>32</v>
      </c>
      <c r="J13">
        <v>40</v>
      </c>
      <c r="K13">
        <f>SUM(M13:INDEX(M13:XFD13,1,M3))</f>
        <v>0</v>
      </c>
      <c r="L13" s="12"/>
    </row>
    <row r="14" spans="1:37" x14ac:dyDescent="0.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30</v>
      </c>
      <c r="G14" t="s">
        <v>73</v>
      </c>
      <c r="H14" t="s">
        <v>74</v>
      </c>
      <c r="I14" t="s">
        <v>32</v>
      </c>
      <c r="J14">
        <v>30</v>
      </c>
      <c r="K14">
        <f>SUM(M14:INDEX(M14:XFD14,1,M3))</f>
        <v>0</v>
      </c>
      <c r="L14" s="12"/>
    </row>
    <row r="15" spans="1:37" ht="8.1" customHeight="1" x14ac:dyDescent="0.4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</row>
    <row r="16" spans="1:37" x14ac:dyDescent="0.25">
      <c r="A16" s="53" t="s">
        <v>75</v>
      </c>
      <c r="B16" s="54"/>
      <c r="C16" s="55"/>
      <c r="D16" s="56"/>
      <c r="E16" s="57"/>
      <c r="F16" s="58"/>
      <c r="G16" s="59"/>
      <c r="H16" s="60"/>
      <c r="I16" s="61"/>
      <c r="J16" s="62"/>
      <c r="K16" s="63"/>
      <c r="L16" s="64"/>
      <c r="M16" s="15" t="str">
        <f>IF(M3&gt;=1,"P1 - B1","")</f>
        <v>P1 - B1</v>
      </c>
      <c r="N16" s="16" t="str">
        <f>IF(M3&gt;=2,"P1 - B2","")</f>
        <v>P1 - B2</v>
      </c>
      <c r="O16" s="17" t="str">
        <f>IF(M3&gt;=3,"P1 - B3","")</f>
        <v>P1 - B3</v>
      </c>
      <c r="P16" s="18" t="str">
        <f>IF(M3&gt;=4,"P1 - B4","")</f>
        <v>P1 - B4</v>
      </c>
      <c r="Q16" s="19" t="str">
        <f>IF(M3&gt;=5,"P1 - B5","")</f>
        <v>P1 - B5</v>
      </c>
      <c r="R16" s="20" t="str">
        <f>IF(M3&gt;=6,"P1 - B6","")</f>
        <v>P1 - B6</v>
      </c>
      <c r="S16" s="21" t="str">
        <f>IF(M3&gt;=7,"P1 - B7","")</f>
        <v>P1 - B7</v>
      </c>
      <c r="T16" s="22" t="str">
        <f>IF(M3&gt;=8,"P1 - B8","")</f>
        <v>P1 - B8</v>
      </c>
      <c r="U16" s="23" t="str">
        <f>IF(M3&gt;=9,"P1 - B9","")</f>
        <v>P1 - B9</v>
      </c>
      <c r="V16" s="24" t="str">
        <f>IF(M3&gt;=10,"P1 - B10","")</f>
        <v>P1 - B10</v>
      </c>
      <c r="W16" s="25" t="str">
        <f>IF(M3&gt;=11,"P1 - B11","")</f>
        <v>P1 - B11</v>
      </c>
      <c r="X16" s="26" t="str">
        <f>IF(M3&gt;=12,"P1 - B12","")</f>
        <v>P1 - B12</v>
      </c>
      <c r="Y16" s="27" t="str">
        <f>IF(M3&gt;=13,"P1 - B13","")</f>
        <v>P1 - B13</v>
      </c>
      <c r="Z16" s="28" t="str">
        <f>IF(M3&gt;=14,"P1 - B14","")</f>
        <v>P1 - B14</v>
      </c>
      <c r="AA16" s="29" t="str">
        <f>IF(M3&gt;=15,"P1 - B15","")</f>
        <v>P1 - B15</v>
      </c>
      <c r="AB16" s="30" t="str">
        <f>IF(M3&gt;=16,"P1 - B16","")</f>
        <v/>
      </c>
      <c r="AC16" s="31" t="str">
        <f>IF(M3&gt;=17,"P1 - B17","")</f>
        <v/>
      </c>
      <c r="AD16" s="32" t="str">
        <f>IF(M3&gt;=18,"P1 - B18","")</f>
        <v/>
      </c>
      <c r="AE16" s="33" t="str">
        <f>IF(M3&gt;=19,"P1 - B19","")</f>
        <v/>
      </c>
      <c r="AF16" s="34" t="str">
        <f>IF(M3&gt;=20,"P1 - B20","")</f>
        <v/>
      </c>
      <c r="AG16" s="35" t="str">
        <f>IF(M3&gt;=21,"P1 - B21","")</f>
        <v/>
      </c>
      <c r="AH16" s="36" t="str">
        <f>IF(M3&gt;=22,"P1 - B22","")</f>
        <v/>
      </c>
      <c r="AI16" s="37" t="str">
        <f>IF(M3&gt;=23,"P1 - B23","")</f>
        <v/>
      </c>
      <c r="AJ16" s="38" t="str">
        <f>IF(M3&gt;=24,"P1 - B24","")</f>
        <v/>
      </c>
      <c r="AK16" s="39" t="str">
        <f>IF(M3&gt;=25,"P1 - B25","")</f>
        <v/>
      </c>
    </row>
    <row r="17" spans="1:37" x14ac:dyDescent="0.4">
      <c r="A17" s="65" t="s">
        <v>76</v>
      </c>
      <c r="B17" s="66"/>
      <c r="C17" s="67"/>
      <c r="D17" s="68"/>
      <c r="E17" s="69"/>
      <c r="F17" s="70"/>
      <c r="G17" s="71"/>
      <c r="H17" s="72"/>
      <c r="I17" s="73"/>
      <c r="J17" s="74"/>
      <c r="K17" s="75"/>
      <c r="L17" s="76"/>
    </row>
    <row r="18" spans="1:37" x14ac:dyDescent="0.4">
      <c r="A18" s="77" t="s">
        <v>77</v>
      </c>
      <c r="B18" s="78"/>
      <c r="C18" s="79"/>
      <c r="D18" s="80"/>
      <c r="E18" s="81"/>
      <c r="F18" s="82"/>
      <c r="G18" s="83"/>
      <c r="H18" s="84"/>
      <c r="I18" s="85"/>
      <c r="J18" s="86"/>
      <c r="K18" s="87"/>
      <c r="L18" s="88"/>
    </row>
    <row r="19" spans="1:37" x14ac:dyDescent="0.4">
      <c r="A19" s="89" t="s">
        <v>78</v>
      </c>
      <c r="B19" s="90"/>
      <c r="C19" s="91"/>
      <c r="D19" s="92"/>
      <c r="E19" s="93"/>
      <c r="F19" s="94"/>
      <c r="G19" s="95"/>
      <c r="H19" s="96"/>
      <c r="I19" s="97"/>
      <c r="J19" s="98"/>
      <c r="K19" s="99"/>
      <c r="L19" s="100"/>
    </row>
    <row r="20" spans="1:37" x14ac:dyDescent="0.4">
      <c r="A20" s="40" t="s">
        <v>79</v>
      </c>
      <c r="B20" s="41"/>
      <c r="C20" s="42"/>
      <c r="D20" s="43"/>
      <c r="E20" s="44"/>
      <c r="F20" s="45"/>
      <c r="G20" s="46"/>
      <c r="H20" s="47"/>
      <c r="I20" s="48"/>
      <c r="J20" s="49"/>
      <c r="K20" s="50"/>
      <c r="L20" s="51"/>
    </row>
    <row r="21" spans="1:37" ht="8.1" customHeight="1" x14ac:dyDescent="0.4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</row>
  </sheetData>
  <sheetProtection password="DFB5" sheet="1" objects="1" scenarios="1" formatCells="0" formatColumns="0" formatRows="0"/>
  <mergeCells count="12">
    <mergeCell ref="A1:L1"/>
    <mergeCell ref="A2:B2"/>
    <mergeCell ref="A3:C3"/>
    <mergeCell ref="I3:L3"/>
    <mergeCell ref="A4:L4"/>
    <mergeCell ref="A20:L20"/>
    <mergeCell ref="A21:AK21"/>
    <mergeCell ref="A15:AK15"/>
    <mergeCell ref="A16:L16"/>
    <mergeCell ref="A17:L17"/>
    <mergeCell ref="A18:L18"/>
    <mergeCell ref="A19:L19"/>
  </mergeCells>
  <phoneticPr fontId="118"/>
  <conditionalFormatting sqref="K6:K14">
    <cfRule type="expression" dxfId="0" priority="1">
      <formula>OR((J6 &lt;&gt; K6), (INT(J6) &lt;&gt; J6))</formula>
    </cfRule>
  </conditionalFormatting>
  <dataValidations count="3">
    <dataValidation type="whole" allowBlank="1" showErrorMessage="1" errorTitle="検証エラー" error="1～25の整数を入力してください" sqref="M3" xr:uid="{00000000-0002-0000-0100-000000000000}">
      <formula1>1</formula1>
      <formula2>25</formula2>
    </dataValidation>
    <dataValidation type="whole" operator="greaterThanOrEqual" allowBlank="1" showErrorMessage="1" errorTitle="検証エラー" error="0以上の整数を入力してください" sqref="M6:M15 N6:N15 O6:O15 P6:P15 Q6:Q15 R6:R15 S6:S15 T6:T15 U6:U15 V6:V15 W6:W15 X6:X15 Y6:Y15 Z6:Z15 AA6:AA15 AB6:AB15 AC6:AC15 AD6:AD15 AE6:AE15 AF6:AF15 AG6:AG15 AH6:AH15 AI6:AI15 AJ6:AJ15 AK6:AK15" xr:uid="{00000000-0002-0000-0100-000001000000}">
      <formula1>0</formula1>
    </dataValidation>
    <dataValidation type="decimal" operator="greaterThan" allowBlank="1" showErrorMessage="1" errorTitle="検証エラー" error="0より大きな数字を入力してください" sqref="M17:M20 N17:N20 O17:O20 P17:P20 Q17:Q20 R17:R20 S17:S20 T17:T20 U17:U20 V17:V20 W17:W20 X17:X20 Y17:Y20 Z17:Z20 AA17:AA20 AB17:AB20 AC17:AC20 AD17:AD20 AE17:AE20 AF17:AF20 AG17:AG20 AH17:AH20 AI17:AI20 AJ17:AJ20 AK17:AK20" xr:uid="{00000000-0002-0000-0100-000002000000}">
      <formula1>0</formula1>
    </dataValidation>
  </dataValidations>
  <pageMargins left="0.7" right="0.7" top="0.75" bottom="0.75" header="0.3" footer="0.3"/>
  <pageSetup paperSize="11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8.75" x14ac:dyDescent="0.4"/>
  <cols>
    <col min="1" max="2" width="25" customWidth="1"/>
  </cols>
  <sheetData>
    <row r="1" spans="1:2" x14ac:dyDescent="0.4">
      <c r="A1" s="10" t="s">
        <v>80</v>
      </c>
      <c r="B1" s="10" t="s">
        <v>81</v>
      </c>
    </row>
    <row r="2" spans="1:2" x14ac:dyDescent="0.4">
      <c r="A2" s="10" t="s">
        <v>82</v>
      </c>
      <c r="B2" s="10" t="s">
        <v>83</v>
      </c>
    </row>
    <row r="3" spans="1:2" x14ac:dyDescent="0.4">
      <c r="A3" s="10" t="s">
        <v>84</v>
      </c>
      <c r="B3" s="10" t="s">
        <v>85</v>
      </c>
    </row>
    <row r="4" spans="1:2" x14ac:dyDescent="0.4">
      <c r="A4" s="10" t="s">
        <v>86</v>
      </c>
      <c r="B4" s="10" t="s">
        <v>87</v>
      </c>
    </row>
    <row r="5" spans="1:2" x14ac:dyDescent="0.4">
      <c r="A5" s="10" t="s">
        <v>88</v>
      </c>
      <c r="B5" s="10">
        <v>1</v>
      </c>
    </row>
  </sheetData>
  <sheetProtection password="DFB5" sheet="1" objects="1" scenarios="1"/>
  <phoneticPr fontId="1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手順</vt:lpstr>
      <vt:lpstr>輸送箱の梱包情報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ECXIMA 株式会社</cp:lastModifiedBy>
  <dcterms:created xsi:type="dcterms:W3CDTF">2026-03-03T01:06:17Z</dcterms:created>
  <dcterms:modified xsi:type="dcterms:W3CDTF">2026-03-03T04:31:03Z</dcterms:modified>
</cp:coreProperties>
</file>